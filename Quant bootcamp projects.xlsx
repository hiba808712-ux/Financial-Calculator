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1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CDDAC2A-F96D-4DA7-9632-256314FBC27C}" xr6:coauthVersionLast="47" xr6:coauthVersionMax="47" xr10:uidLastSave="{00000000-0000-0000-0000-000000000000}"/>
  <bookViews>
    <workbookView xWindow="-110" yWindow="-110" windowWidth="19420" windowHeight="10300" xr2:uid="{5C57CE9B-6247-4BF1-BD18-169BA32F2BC6}"/>
  </bookViews>
  <sheets>
    <sheet name="NPV Calculator (Session 01)" sheetId="1" r:id="rId1"/>
    <sheet name="NPV+IRR Calculator (Session 02)" sheetId="2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purl.oclc.org/ooxml/spreadsheetml/main">
  <c r="AA7" i="2" l="1"/>
  <c r="AA8" i="2"/>
  <c r="AC8" i="2" s="1"/>
  <c r="AA9" i="2"/>
  <c r="AC9" i="2" s="1"/>
  <c r="AA10" i="2"/>
  <c r="AC10" i="2" s="1"/>
  <c r="AA11" i="2"/>
  <c r="AC11" i="2" s="1"/>
  <c r="AA6" i="2"/>
  <c r="AC6" i="2" s="1"/>
  <c r="AC7" i="2"/>
  <c r="AA5" i="2"/>
  <c r="Q7" i="2"/>
  <c r="Q8" i="2"/>
  <c r="S8" i="2" s="1"/>
  <c r="Q9" i="2"/>
  <c r="S9" i="2" s="1"/>
  <c r="Q10" i="2"/>
  <c r="S10" i="2" s="1"/>
  <c r="Q11" i="2"/>
  <c r="S11" i="2" s="1"/>
  <c r="Q6" i="2"/>
  <c r="S6" i="2" s="1"/>
  <c r="Q5" i="2"/>
  <c r="G14" i="2"/>
  <c r="G18" i="2" s="1"/>
  <c r="H23" i="2" s="1"/>
  <c r="G12" i="2"/>
  <c r="J11" i="2"/>
  <c r="J10" i="2"/>
  <c r="J9" i="2"/>
  <c r="J8" i="2"/>
  <c r="J7" i="2"/>
  <c r="J6" i="2"/>
  <c r="I33" i="1"/>
  <c r="I32" i="1"/>
  <c r="I31" i="1"/>
  <c r="I30" i="1"/>
  <c r="I29" i="1"/>
  <c r="I28" i="1"/>
  <c r="I35" i="1" s="1"/>
  <c r="I36" i="1" s="1"/>
  <c r="H33" i="1"/>
  <c r="H32" i="1"/>
  <c r="H31" i="1"/>
  <c r="H30" i="1"/>
  <c r="H29" i="1"/>
  <c r="H28" i="1"/>
  <c r="H35" i="1" s="1"/>
  <c r="H36" i="1" s="1"/>
  <c r="G33" i="1"/>
  <c r="G32" i="1"/>
  <c r="G31" i="1"/>
  <c r="G30" i="1"/>
  <c r="G29" i="1"/>
  <c r="G28" i="1"/>
  <c r="G35" i="1" s="1"/>
  <c r="G36" i="1" s="1"/>
  <c r="I27" i="1"/>
  <c r="I37" i="1" s="1"/>
  <c r="H27" i="1"/>
  <c r="H37" i="1" s="1"/>
  <c r="G27" i="1"/>
  <c r="G37" i="1" s="1"/>
  <c r="I8" i="1"/>
  <c r="I7" i="1"/>
  <c r="I6" i="1"/>
  <c r="I5" i="1"/>
  <c r="I4" i="1"/>
  <c r="D9" i="1"/>
  <c r="I14" i="1" s="1"/>
  <c r="I9" i="1" l="1"/>
  <c r="I15" i="1" s="1"/>
  <c r="Q14" i="2"/>
  <c r="Q18" i="2" s="1"/>
  <c r="H24" i="2" s="1"/>
  <c r="J12" i="2"/>
  <c r="G17" i="2" s="1"/>
  <c r="G23" i="2" s="1"/>
  <c r="Q12" i="2"/>
  <c r="S7" i="2"/>
  <c r="S12" i="2" s="1"/>
  <c r="Q17" i="2" s="1"/>
  <c r="G24" i="2" s="1"/>
  <c r="AA14" i="2"/>
  <c r="AA18" i="2" s="1"/>
  <c r="H25" i="2" s="1"/>
  <c r="AC12" i="2"/>
  <c r="AA17" i="2" s="1"/>
  <c r="G25" i="2" s="1"/>
  <c r="AA12" i="2"/>
</calcChain>
</file>

<file path=xl/sharedStrings.xml><?xml version="1.0" encoding="utf-8"?>
<sst xmlns="http://purl.oclc.org/ooxml/spreadsheetml/main" count="62" uniqueCount="33">
  <si>
    <t>NPV Calculator</t>
  </si>
  <si>
    <t>Total Amount Invested</t>
  </si>
  <si>
    <t>Cash Flows</t>
  </si>
  <si>
    <t xml:space="preserve">Rate of Return </t>
  </si>
  <si>
    <t xml:space="preserve">Total  </t>
  </si>
  <si>
    <t>Calculating Net Present Value</t>
  </si>
  <si>
    <t>Total Profit (or loss) without NPV</t>
  </si>
  <si>
    <t>Total Profit (or loss) with NPV</t>
  </si>
  <si>
    <t>Bear</t>
  </si>
  <si>
    <t>Base</t>
  </si>
  <si>
    <t>Bull</t>
  </si>
  <si>
    <t>Initial Investment</t>
  </si>
  <si>
    <t>Case Study</t>
  </si>
  <si>
    <t>NPV</t>
  </si>
  <si>
    <t xml:space="preserve">Total </t>
  </si>
  <si>
    <t>r</t>
  </si>
  <si>
    <t>Profit (or loss) with NPV</t>
  </si>
  <si>
    <t>Profit (or loss) without NPV</t>
  </si>
  <si>
    <t xml:space="preserve">NPV Calculator </t>
  </si>
  <si>
    <t>Net Present Value</t>
  </si>
  <si>
    <t>Required Rate of Return</t>
  </si>
  <si>
    <t>Total</t>
  </si>
  <si>
    <t>-</t>
  </si>
  <si>
    <t>Internal Rate of Return</t>
  </si>
  <si>
    <t>Best Case</t>
  </si>
  <si>
    <t>Worse Case</t>
  </si>
  <si>
    <t>Scenario Analysis</t>
  </si>
  <si>
    <t>IRR</t>
  </si>
  <si>
    <t>The investment is good</t>
  </si>
  <si>
    <t>NPV vs IRR</t>
  </si>
  <si>
    <t>Best</t>
  </si>
  <si>
    <t>Worse</t>
  </si>
  <si>
    <t>The investment is bad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</si>
</sst>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1">
    <border>
      <start/>
      <end/>
      <top/>
      <bottom/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/>
      <top style="medium">
        <color indexed="64"/>
      </top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/>
      <end/>
      <top style="thin">
        <color indexed="64"/>
      </top>
      <bottom/>
      <diagonal/>
    </border>
    <border>
      <start style="medium">
        <color indexed="64"/>
      </start>
      <end/>
      <top style="thin">
        <color indexed="64"/>
      </top>
      <bottom style="medium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/>
      <end style="medium">
        <color indexed="64"/>
      </end>
      <top style="thin">
        <color indexed="64"/>
      </top>
      <bottom style="medium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medium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/>
    <xf numFmtId="0" fontId="0" fillId="0" borderId="5" xfId="0" applyBorder="1"/>
    <xf numFmtId="0" fontId="0" fillId="0" borderId="2" xfId="0" applyBorder="1"/>
    <xf numFmtId="0" fontId="1" fillId="0" borderId="2" xfId="0" applyFont="1" applyBorder="1"/>
    <xf numFmtId="10" fontId="0" fillId="0" borderId="8" xfId="0" applyNumberFormat="1" applyBorder="1"/>
    <xf numFmtId="0" fontId="0" fillId="0" borderId="7" xfId="0" applyBorder="1"/>
    <xf numFmtId="0" fontId="0" fillId="0" borderId="4" xfId="0" applyBorder="1"/>
    <xf numFmtId="0" fontId="0" fillId="0" borderId="10" xfId="0" applyBorder="1"/>
    <xf numFmtId="0" fontId="0" fillId="0" borderId="1" xfId="0" applyBorder="1"/>
    <xf numFmtId="0" fontId="0" fillId="0" borderId="9" xfId="0" applyBorder="1"/>
    <xf numFmtId="0" fontId="0" fillId="0" borderId="6" xfId="0" applyBorder="1"/>
    <xf numFmtId="0" fontId="0" fillId="0" borderId="11" xfId="0" applyBorder="1"/>
    <xf numFmtId="0" fontId="1" fillId="0" borderId="3" xfId="0" applyFont="1" applyBorder="1"/>
    <xf numFmtId="0" fontId="0" fillId="0" borderId="3" xfId="0" applyBorder="1"/>
    <xf numFmtId="2" fontId="0" fillId="0" borderId="0" xfId="0" applyNumberFormat="1"/>
    <xf numFmtId="2" fontId="0" fillId="0" borderId="11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0" fontId="1" fillId="0" borderId="0" xfId="0" applyFont="1"/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6" xfId="0" applyFont="1" applyBorder="1"/>
    <xf numFmtId="0" fontId="1" fillId="0" borderId="10" xfId="0" applyFont="1" applyBorder="1"/>
    <xf numFmtId="9" fontId="0" fillId="0" borderId="11" xfId="0" applyNumberFormat="1" applyBorder="1"/>
    <xf numFmtId="9" fontId="0" fillId="0" borderId="9" xfId="0" applyNumberFormat="1" applyBorder="1"/>
    <xf numFmtId="2" fontId="0" fillId="0" borderId="8" xfId="0" applyNumberFormat="1" applyBorder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12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9" fontId="0" fillId="0" borderId="19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</a:t>
            </a:r>
            <a:r>
              <a:rPr lang="en-US" baseline="0%"/>
              <a:t> Vs IRR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'NPV+IRR Calculator (Session 02)'!$F$23:$F$25</c:f>
              <c:strCache>
                <c:ptCount val="3"/>
                <c:pt idx="0">
                  <c:v>Base</c:v>
                </c:pt>
                <c:pt idx="1">
                  <c:v>Best</c:v>
                </c:pt>
                <c:pt idx="2">
                  <c:v>Worse</c:v>
                </c:pt>
              </c:strCache>
            </c:strRef>
          </c:cat>
          <c:val>
            <c:numRef>
              <c:f>'NPV+IRR Calculator (Session 02)'!$G$23:$G$25</c:f>
              <c:numCache>
                <c:formatCode>0.00</c:formatCode>
                <c:ptCount val="3"/>
                <c:pt idx="0">
                  <c:v>11250</c:v>
                </c:pt>
                <c:pt idx="1">
                  <c:v>17500</c:v>
                </c:pt>
                <c:pt idx="2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1-41AD-B210-928914D54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937151"/>
        <c:axId val="1807923231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'NPV+IRR Calculator (Session 02)'!$F$23:$F$25</c:f>
              <c:strCache>
                <c:ptCount val="3"/>
                <c:pt idx="0">
                  <c:v>Base</c:v>
                </c:pt>
                <c:pt idx="1">
                  <c:v>Best</c:v>
                </c:pt>
                <c:pt idx="2">
                  <c:v>Worse</c:v>
                </c:pt>
              </c:strCache>
            </c:strRef>
          </c:cat>
          <c:val>
            <c:numRef>
              <c:f>'NPV+IRR Calculator (Session 02)'!$H$23:$H$25</c:f>
              <c:numCache>
                <c:formatCode>0%</c:formatCode>
                <c:ptCount val="3"/>
                <c:pt idx="0">
                  <c:v>0.25997903854075788</c:v>
                </c:pt>
                <c:pt idx="1">
                  <c:v>0.37081677308053562</c:v>
                </c:pt>
                <c:pt idx="2">
                  <c:v>0.15031900384733077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C1-41AD-B210-928914D54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7931391"/>
        <c:axId val="1807929951"/>
      </c:lineChart>
      <c:catAx>
        <c:axId val="180793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23231"/>
        <c:crosses val="autoZero"/>
        <c:auto val="1"/>
        <c:lblAlgn val="ctr"/>
        <c:lblOffset val="100"/>
        <c:noMultiLvlLbl val="0"/>
      </c:catAx>
      <c:valAx>
        <c:axId val="18079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37151"/>
        <c:crosses val="autoZero"/>
        <c:crossBetween val="between"/>
      </c:valAx>
      <c:valAx>
        <c:axId val="1807929951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31391"/>
        <c:crosses val="max"/>
        <c:crossBetween val="between"/>
      </c:valAx>
      <c:catAx>
        <c:axId val="18079313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0792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15</xdr:col>
      <xdr:colOff>12959</xdr:colOff>
      <xdr:row>19</xdr:row>
      <xdr:rowOff>165823</xdr:rowOff>
    </xdr:from>
    <xdr:to>
      <xdr:col>22</xdr:col>
      <xdr:colOff>103673</xdr:colOff>
      <xdr:row>36</xdr:row>
      <xdr:rowOff>12960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F9DF6-EFC8-D87C-CDDB-0BB3416ED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CB8BC-61F3-4D14-924A-A227F56D57FC}">
  <dimension ref="A1:O37"/>
  <sheetViews>
    <sheetView tabSelected="1" zoomScale="92" workbookViewId="0">
      <selection activeCell="E2" sqref="A1:O2"/>
    </sheetView>
  </sheetViews>
  <sheetFormatPr defaultRowHeight="14.5" x14ac:dyDescent="0.35"/>
  <cols>
    <col min="4" max="4" width="23.54296875" bestFit="1" customWidth="1"/>
    <col min="7" max="7" width="12" customWidth="1"/>
    <col min="8" max="8" width="11.453125" customWidth="1"/>
    <col min="9" max="9" width="9.36328125" bestFit="1" customWidth="1"/>
  </cols>
  <sheetData>
    <row r="1" spans="1:15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5">
      <c r="A2" s="31" t="s">
        <v>1</v>
      </c>
      <c r="B2" s="31"/>
      <c r="C2" s="31"/>
      <c r="D2" s="31"/>
      <c r="E2" s="31">
        <v>50000</v>
      </c>
      <c r="F2" s="31"/>
      <c r="G2" s="31"/>
      <c r="H2" s="31"/>
    </row>
    <row r="3" spans="1:15" x14ac:dyDescent="0.35">
      <c r="A3" s="35" t="s">
        <v>2</v>
      </c>
      <c r="B3" s="35"/>
      <c r="C3" s="35"/>
      <c r="D3" s="35"/>
      <c r="E3" s="35"/>
      <c r="F3" s="35"/>
      <c r="G3" s="35"/>
      <c r="H3" s="35"/>
      <c r="I3" s="35" t="s">
        <v>5</v>
      </c>
      <c r="J3" s="35"/>
      <c r="K3" s="35"/>
      <c r="L3" s="35"/>
      <c r="M3" s="35"/>
      <c r="N3" s="35"/>
      <c r="O3" s="35"/>
    </row>
    <row r="4" spans="1:15" x14ac:dyDescent="0.35">
      <c r="A4" s="36">
        <v>1</v>
      </c>
      <c r="B4" s="36"/>
      <c r="C4" s="36"/>
      <c r="D4" s="36">
        <v>10000</v>
      </c>
      <c r="E4" s="36"/>
      <c r="F4" s="36"/>
      <c r="G4" s="36"/>
      <c r="H4" s="36"/>
      <c r="I4" s="36">
        <f>D4/(1+E10)^A4</f>
        <v>9319.6644920782855</v>
      </c>
      <c r="J4" s="36"/>
      <c r="K4" s="36"/>
      <c r="L4" s="36"/>
      <c r="M4" s="36"/>
      <c r="N4" s="36"/>
      <c r="O4" s="36"/>
    </row>
    <row r="5" spans="1:15" x14ac:dyDescent="0.35">
      <c r="A5" s="36">
        <v>2</v>
      </c>
      <c r="B5" s="36"/>
      <c r="C5" s="36"/>
      <c r="D5" s="36">
        <v>15000</v>
      </c>
      <c r="E5" s="36"/>
      <c r="F5" s="36"/>
      <c r="G5" s="36"/>
      <c r="H5" s="36"/>
      <c r="I5" s="36">
        <f>D5/(1+E10)^A5</f>
        <v>13028.421936735722</v>
      </c>
      <c r="J5" s="36"/>
      <c r="K5" s="36"/>
      <c r="L5" s="36"/>
      <c r="M5" s="36"/>
      <c r="N5" s="36"/>
      <c r="O5" s="36"/>
    </row>
    <row r="6" spans="1:15" x14ac:dyDescent="0.35">
      <c r="A6" s="36">
        <v>3</v>
      </c>
      <c r="B6" s="36"/>
      <c r="C6" s="36"/>
      <c r="D6" s="36">
        <v>-5000</v>
      </c>
      <c r="E6" s="36"/>
      <c r="F6" s="36"/>
      <c r="G6" s="36"/>
      <c r="H6" s="36"/>
      <c r="I6" s="36">
        <f>D6/(1+E10)^A6</f>
        <v>-4047.3507103869911</v>
      </c>
      <c r="J6" s="36"/>
      <c r="K6" s="36"/>
      <c r="L6" s="36"/>
      <c r="M6" s="36"/>
      <c r="N6" s="36"/>
      <c r="O6" s="36"/>
    </row>
    <row r="7" spans="1:15" x14ac:dyDescent="0.35">
      <c r="A7" s="36">
        <v>4</v>
      </c>
      <c r="B7" s="36"/>
      <c r="C7" s="36"/>
      <c r="D7" s="36">
        <v>20000</v>
      </c>
      <c r="E7" s="36"/>
      <c r="F7" s="36"/>
      <c r="G7" s="36"/>
      <c r="H7" s="36"/>
      <c r="I7" s="36">
        <f>D7/(1+E10)^A7</f>
        <v>15087.980281032585</v>
      </c>
      <c r="J7" s="36"/>
      <c r="K7" s="36"/>
      <c r="L7" s="36"/>
      <c r="M7" s="36"/>
      <c r="N7" s="36"/>
      <c r="O7" s="36"/>
    </row>
    <row r="8" spans="1:15" ht="15" thickBot="1" x14ac:dyDescent="0.4">
      <c r="A8" s="36">
        <v>5</v>
      </c>
      <c r="B8" s="36"/>
      <c r="C8" s="36"/>
      <c r="D8" s="36">
        <v>30000</v>
      </c>
      <c r="E8" s="36"/>
      <c r="F8" s="36"/>
      <c r="G8" s="36"/>
      <c r="H8" s="36"/>
      <c r="I8" s="36">
        <f>D8/(1+E10)^A8</f>
        <v>21092.23711234751</v>
      </c>
      <c r="J8" s="36"/>
      <c r="K8" s="36"/>
      <c r="L8" s="36"/>
      <c r="M8" s="36"/>
      <c r="N8" s="36"/>
      <c r="O8" s="36"/>
    </row>
    <row r="9" spans="1:15" ht="15" thickBot="1" x14ac:dyDescent="0.4">
      <c r="A9" s="37" t="s">
        <v>4</v>
      </c>
      <c r="B9" s="33"/>
      <c r="C9" s="33"/>
      <c r="D9" s="33">
        <f>SUM(D4:H8)</f>
        <v>70000</v>
      </c>
      <c r="E9" s="33"/>
      <c r="F9" s="33"/>
      <c r="G9" s="33"/>
      <c r="H9" s="34"/>
      <c r="I9" s="37">
        <f>SUM(I4:O8)</f>
        <v>54480.95311180711</v>
      </c>
      <c r="J9" s="33"/>
      <c r="K9" s="33"/>
      <c r="L9" s="33"/>
      <c r="M9" s="33"/>
      <c r="N9" s="33"/>
      <c r="O9" s="34"/>
    </row>
    <row r="10" spans="1:15" x14ac:dyDescent="0.35">
      <c r="A10" s="31" t="s">
        <v>3</v>
      </c>
      <c r="B10" s="31"/>
      <c r="C10" s="31"/>
      <c r="D10" s="31"/>
      <c r="E10" s="32">
        <v>7.2999999999999995E-2</v>
      </c>
      <c r="F10" s="31"/>
      <c r="G10" s="31"/>
      <c r="H10" s="31"/>
    </row>
    <row r="13" spans="1:15" ht="15" thickBot="1" x14ac:dyDescent="0.4"/>
    <row r="14" spans="1:15" x14ac:dyDescent="0.35">
      <c r="A14" s="45" t="s">
        <v>6</v>
      </c>
      <c r="B14" s="46"/>
      <c r="C14" s="46"/>
      <c r="D14" s="46"/>
      <c r="E14" s="46"/>
      <c r="F14" s="46"/>
      <c r="G14" s="46"/>
      <c r="H14" s="47"/>
      <c r="I14" s="38">
        <f>D9-E2</f>
        <v>20000</v>
      </c>
      <c r="J14" s="38"/>
      <c r="K14" s="38"/>
      <c r="L14" s="38"/>
      <c r="M14" s="38"/>
      <c r="N14" s="38"/>
      <c r="O14" s="39"/>
    </row>
    <row r="15" spans="1:15" ht="15" thickBot="1" x14ac:dyDescent="0.4">
      <c r="A15" s="40" t="s">
        <v>7</v>
      </c>
      <c r="B15" s="41"/>
      <c r="C15" s="41"/>
      <c r="D15" s="41"/>
      <c r="E15" s="41"/>
      <c r="F15" s="41"/>
      <c r="G15" s="41"/>
      <c r="H15" s="42"/>
      <c r="I15" s="43">
        <f>I9-E2</f>
        <v>4480.95311180711</v>
      </c>
      <c r="J15" s="43"/>
      <c r="K15" s="43"/>
      <c r="L15" s="43"/>
      <c r="M15" s="43"/>
      <c r="N15" s="43"/>
      <c r="O15" s="44"/>
    </row>
    <row r="18" spans="1:15" ht="15" thickBot="1" x14ac:dyDescent="0.4">
      <c r="A18" s="31" t="s">
        <v>12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1:15" ht="15" thickBot="1" x14ac:dyDescent="0.4">
      <c r="D19" s="10"/>
      <c r="E19" s="4"/>
      <c r="F19" s="4"/>
      <c r="G19" s="4" t="s">
        <v>8</v>
      </c>
      <c r="H19" s="4" t="s">
        <v>9</v>
      </c>
      <c r="I19" s="15" t="s">
        <v>10</v>
      </c>
    </row>
    <row r="20" spans="1:15" ht="15" thickBot="1" x14ac:dyDescent="0.4">
      <c r="D20" s="7" t="s">
        <v>11</v>
      </c>
      <c r="E20" s="2"/>
      <c r="F20" s="2"/>
      <c r="G20" s="2">
        <v>50000</v>
      </c>
      <c r="H20" s="2">
        <v>50000</v>
      </c>
      <c r="I20" s="11">
        <v>50000</v>
      </c>
    </row>
    <row r="21" spans="1:15" x14ac:dyDescent="0.35">
      <c r="D21" s="8" t="s">
        <v>2</v>
      </c>
      <c r="E21" s="3"/>
      <c r="F21" s="3">
        <v>1</v>
      </c>
      <c r="G21" s="3">
        <v>18000</v>
      </c>
      <c r="H21" s="3">
        <v>20000</v>
      </c>
      <c r="I21" s="12">
        <v>22000</v>
      </c>
    </row>
    <row r="22" spans="1:15" x14ac:dyDescent="0.35">
      <c r="D22" s="9"/>
      <c r="F22">
        <v>2</v>
      </c>
      <c r="G22">
        <v>13000</v>
      </c>
      <c r="H22">
        <v>30000</v>
      </c>
      <c r="I22" s="13">
        <v>30000</v>
      </c>
    </row>
    <row r="23" spans="1:15" x14ac:dyDescent="0.35">
      <c r="D23" s="9"/>
      <c r="F23">
        <v>3</v>
      </c>
      <c r="G23">
        <v>-20000</v>
      </c>
      <c r="H23">
        <v>-15000</v>
      </c>
      <c r="I23" s="13">
        <v>38000</v>
      </c>
    </row>
    <row r="24" spans="1:15" x14ac:dyDescent="0.35">
      <c r="D24" s="9"/>
      <c r="F24">
        <v>4</v>
      </c>
      <c r="G24">
        <v>25000</v>
      </c>
      <c r="H24">
        <v>35000</v>
      </c>
      <c r="I24" s="13">
        <v>42000</v>
      </c>
    </row>
    <row r="25" spans="1:15" x14ac:dyDescent="0.35">
      <c r="D25" s="9"/>
      <c r="F25">
        <v>5</v>
      </c>
      <c r="G25">
        <v>15000</v>
      </c>
      <c r="H25">
        <v>22000</v>
      </c>
      <c r="I25" s="13">
        <v>50000</v>
      </c>
    </row>
    <row r="26" spans="1:15" ht="15" thickBot="1" x14ac:dyDescent="0.4">
      <c r="D26" s="7"/>
      <c r="E26" s="2"/>
      <c r="F26" s="2">
        <v>6</v>
      </c>
      <c r="G26" s="2">
        <v>30000</v>
      </c>
      <c r="H26" s="2">
        <v>32000</v>
      </c>
      <c r="I26" s="11">
        <v>54000</v>
      </c>
    </row>
    <row r="27" spans="1:15" ht="15" thickBot="1" x14ac:dyDescent="0.4">
      <c r="D27" s="10" t="s">
        <v>14</v>
      </c>
      <c r="E27" s="4"/>
      <c r="F27" s="4"/>
      <c r="G27" s="5">
        <f>SUM(G21:G26)</f>
        <v>81000</v>
      </c>
      <c r="H27" s="5">
        <f>SUM(H21:H26)</f>
        <v>124000</v>
      </c>
      <c r="I27" s="14">
        <f>SUM(I20:I26)</f>
        <v>286000</v>
      </c>
    </row>
    <row r="28" spans="1:15" x14ac:dyDescent="0.35">
      <c r="D28" s="8" t="s">
        <v>13</v>
      </c>
      <c r="E28" s="3"/>
      <c r="F28" s="3">
        <v>1</v>
      </c>
      <c r="G28" s="18">
        <f>G21/(1+E34)^F21</f>
        <v>16775.396085740915</v>
      </c>
      <c r="H28" s="18">
        <f>H21/(1+E34)^F21</f>
        <v>18639.328984156571</v>
      </c>
      <c r="I28" s="19">
        <f>I21/(1+E34)^F28</f>
        <v>20503.261882572227</v>
      </c>
    </row>
    <row r="29" spans="1:15" x14ac:dyDescent="0.35">
      <c r="D29" s="9"/>
      <c r="F29">
        <v>2</v>
      </c>
      <c r="G29" s="16">
        <f>G22/(1+E34)^F22</f>
        <v>11291.299011837626</v>
      </c>
      <c r="H29" s="16">
        <f>H22/(1+E34)^F22</f>
        <v>26056.843873471444</v>
      </c>
      <c r="I29" s="17">
        <f>I22/(1+E34)^F29</f>
        <v>26056.843873471444</v>
      </c>
    </row>
    <row r="30" spans="1:15" x14ac:dyDescent="0.35">
      <c r="D30" s="9"/>
      <c r="F30">
        <v>3</v>
      </c>
      <c r="G30" s="16">
        <f>G23/(1+E34)^F23</f>
        <v>-16189.402841547964</v>
      </c>
      <c r="H30" s="16">
        <f>H23/(1+E34)^F23</f>
        <v>-12142.052131160974</v>
      </c>
      <c r="I30" s="17">
        <f>I23/(1+E34)^F30</f>
        <v>30759.865398941132</v>
      </c>
    </row>
    <row r="31" spans="1:15" x14ac:dyDescent="0.35">
      <c r="D31" s="9"/>
      <c r="F31">
        <v>4</v>
      </c>
      <c r="G31" s="16">
        <f>G24/(1+E34)^F24</f>
        <v>18859.97535129073</v>
      </c>
      <c r="H31" s="16">
        <f>H24/(1+E34)^F24</f>
        <v>26403.965491807023</v>
      </c>
      <c r="I31" s="17">
        <f>I24/(1+E34)^F31</f>
        <v>31684.758590168429</v>
      </c>
    </row>
    <row r="32" spans="1:15" x14ac:dyDescent="0.35">
      <c r="D32" s="9"/>
      <c r="F32">
        <v>5</v>
      </c>
      <c r="G32" s="16">
        <f>G25/(1+E34)^F25</f>
        <v>10546.118556173755</v>
      </c>
      <c r="H32" s="16">
        <f>H25/(1+E34)^F25</f>
        <v>15467.640549054842</v>
      </c>
      <c r="I32" s="17">
        <f>I25/(1+E34)^F32</f>
        <v>35153.728520579185</v>
      </c>
    </row>
    <row r="33" spans="4:9" x14ac:dyDescent="0.35">
      <c r="D33" s="9"/>
      <c r="F33">
        <v>6</v>
      </c>
      <c r="G33" s="16">
        <f>G26/(1+E34)^F26</f>
        <v>19657.257327444095</v>
      </c>
      <c r="H33" s="16">
        <f>H26/(1+E34)^F26</f>
        <v>20967.741149273701</v>
      </c>
      <c r="I33" s="17">
        <f>I26/(1+E34)^F33</f>
        <v>35383.06318939937</v>
      </c>
    </row>
    <row r="34" spans="4:9" ht="15" thickBot="1" x14ac:dyDescent="0.4">
      <c r="D34" s="7" t="s">
        <v>15</v>
      </c>
      <c r="E34" s="6">
        <v>7.2999999999999995E-2</v>
      </c>
      <c r="F34" s="2"/>
      <c r="G34" s="2"/>
      <c r="H34" s="2"/>
      <c r="I34" s="11"/>
    </row>
    <row r="35" spans="4:9" ht="15" thickBot="1" x14ac:dyDescent="0.4">
      <c r="D35" s="10" t="s">
        <v>14</v>
      </c>
      <c r="E35" s="4"/>
      <c r="F35" s="4"/>
      <c r="G35" s="20">
        <f>SUM(G28:G33)</f>
        <v>60940.643490939154</v>
      </c>
      <c r="H35" s="20">
        <f t="shared" ref="H35:I35" si="0">SUM(H28:H33)</f>
        <v>95393.467916602618</v>
      </c>
      <c r="I35" s="21">
        <f t="shared" si="0"/>
        <v>179541.52145513182</v>
      </c>
    </row>
    <row r="36" spans="4:9" x14ac:dyDescent="0.35">
      <c r="D36" s="9" t="s">
        <v>16</v>
      </c>
      <c r="G36" s="16">
        <f>G35-G20</f>
        <v>10940.643490939154</v>
      </c>
      <c r="H36" s="16">
        <f t="shared" ref="H36:I36" si="1">H35-H20</f>
        <v>45393.467916602618</v>
      </c>
      <c r="I36" s="17">
        <f t="shared" si="1"/>
        <v>129541.52145513182</v>
      </c>
    </row>
    <row r="37" spans="4:9" ht="15" thickBot="1" x14ac:dyDescent="0.4">
      <c r="D37" s="7" t="s">
        <v>17</v>
      </c>
      <c r="E37" s="2"/>
      <c r="F37" s="2"/>
      <c r="G37" s="2">
        <f>G27-G20</f>
        <v>31000</v>
      </c>
      <c r="H37" s="2">
        <f t="shared" ref="H37:I37" si="2">H27-H20</f>
        <v>74000</v>
      </c>
      <c r="I37" s="11">
        <f t="shared" si="2"/>
        <v>236000</v>
      </c>
    </row>
  </sheetData>
  <mergeCells count="30">
    <mergeCell ref="I14:O14"/>
    <mergeCell ref="A15:H15"/>
    <mergeCell ref="I15:O15"/>
    <mergeCell ref="A18:O18"/>
    <mergeCell ref="A4:C4"/>
    <mergeCell ref="A5:C5"/>
    <mergeCell ref="D4:H4"/>
    <mergeCell ref="D5:H5"/>
    <mergeCell ref="A14:H14"/>
    <mergeCell ref="A8:C8"/>
    <mergeCell ref="A9:C9"/>
    <mergeCell ref="D6:H6"/>
    <mergeCell ref="D7:H7"/>
    <mergeCell ref="D8:H8"/>
    <mergeCell ref="A1:O1"/>
    <mergeCell ref="A10:D10"/>
    <mergeCell ref="E10:H10"/>
    <mergeCell ref="D9:H9"/>
    <mergeCell ref="I3:O3"/>
    <mergeCell ref="I4:O4"/>
    <mergeCell ref="I5:O5"/>
    <mergeCell ref="I6:O6"/>
    <mergeCell ref="I7:O7"/>
    <mergeCell ref="I8:O8"/>
    <mergeCell ref="I9:O9"/>
    <mergeCell ref="A6:C6"/>
    <mergeCell ref="A7:C7"/>
    <mergeCell ref="A2:D2"/>
    <mergeCell ref="E2:H2"/>
    <mergeCell ref="A3:H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11B1-BDEF-4C9E-B218-FE43675E0312}">
  <dimension ref="F1:AG25"/>
  <sheetViews>
    <sheetView topLeftCell="E1" zoomScale="49" workbookViewId="0">
      <selection activeCell="N39" sqref="N39"/>
    </sheetView>
  </sheetViews>
  <sheetFormatPr defaultRowHeight="14.5" x14ac:dyDescent="0.35"/>
  <cols>
    <col min="1" max="1" width="9.7265625" bestFit="1" customWidth="1"/>
    <col min="6" max="6" width="21.26953125" bestFit="1" customWidth="1"/>
    <col min="7" max="7" width="10.08984375" bestFit="1" customWidth="1"/>
    <col min="16" max="16" width="24.08984375" customWidth="1"/>
    <col min="26" max="26" width="21.26953125" bestFit="1" customWidth="1"/>
  </cols>
  <sheetData>
    <row r="1" spans="6:33" x14ac:dyDescent="0.35">
      <c r="F1" s="48" t="s">
        <v>18</v>
      </c>
      <c r="G1" s="48"/>
      <c r="H1" s="48"/>
      <c r="I1" s="48"/>
      <c r="J1" s="48"/>
      <c r="K1" s="48"/>
      <c r="L1" s="48"/>
      <c r="M1" s="48"/>
      <c r="P1" s="52" t="s">
        <v>24</v>
      </c>
      <c r="Q1" s="52"/>
      <c r="R1" s="52"/>
      <c r="S1" s="52"/>
      <c r="T1" s="52"/>
      <c r="U1" s="52"/>
      <c r="V1" s="52"/>
      <c r="Z1" s="53" t="s">
        <v>25</v>
      </c>
      <c r="AA1" s="53"/>
      <c r="AB1" s="53"/>
      <c r="AC1" s="53"/>
      <c r="AD1" s="53"/>
      <c r="AE1" s="53"/>
      <c r="AF1" s="53"/>
    </row>
    <row r="2" spans="6:33" x14ac:dyDescent="0.35">
      <c r="F2" s="22" t="s">
        <v>11</v>
      </c>
      <c r="G2" s="31">
        <v>20000</v>
      </c>
      <c r="H2" s="31"/>
      <c r="I2" s="31"/>
      <c r="J2" s="31"/>
      <c r="K2" s="31"/>
      <c r="L2" s="31"/>
      <c r="M2" s="31"/>
      <c r="P2" s="22" t="s">
        <v>11</v>
      </c>
      <c r="Q2" s="31">
        <v>20000</v>
      </c>
      <c r="R2" s="31"/>
      <c r="S2" s="31"/>
      <c r="T2" s="31"/>
      <c r="U2" s="31"/>
      <c r="V2" s="31"/>
      <c r="Z2" s="22" t="s">
        <v>11</v>
      </c>
      <c r="AA2" s="31">
        <v>20000</v>
      </c>
      <c r="AB2" s="31"/>
      <c r="AC2" s="31"/>
      <c r="AD2" s="31"/>
      <c r="AE2" s="31"/>
      <c r="AF2" s="31"/>
    </row>
    <row r="3" spans="6:33" x14ac:dyDescent="0.35">
      <c r="F3" s="22" t="s">
        <v>20</v>
      </c>
      <c r="G3" s="31">
        <v>0.2</v>
      </c>
      <c r="H3" s="31"/>
      <c r="I3" s="31"/>
      <c r="J3" s="31"/>
      <c r="K3" s="31"/>
      <c r="L3" s="31"/>
      <c r="M3" s="31"/>
      <c r="P3" s="22" t="s">
        <v>20</v>
      </c>
      <c r="Q3" s="31">
        <v>0.2</v>
      </c>
      <c r="R3" s="31"/>
      <c r="S3" s="31"/>
      <c r="T3" s="31"/>
      <c r="U3" s="31"/>
      <c r="V3" s="31"/>
      <c r="W3" s="22"/>
      <c r="Z3" s="22" t="s">
        <v>20</v>
      </c>
      <c r="AA3" s="31">
        <v>0.2</v>
      </c>
      <c r="AB3" s="31"/>
      <c r="AC3" s="31"/>
      <c r="AD3" s="31"/>
      <c r="AE3" s="31"/>
      <c r="AF3" s="31"/>
      <c r="AG3" s="22"/>
    </row>
    <row r="4" spans="6:33" x14ac:dyDescent="0.35">
      <c r="F4" s="31" t="s">
        <v>2</v>
      </c>
      <c r="G4" s="31"/>
      <c r="H4" s="31"/>
      <c r="I4" s="31"/>
      <c r="J4" s="31" t="s">
        <v>19</v>
      </c>
      <c r="K4" s="31"/>
      <c r="L4" s="31"/>
      <c r="M4" s="31"/>
      <c r="P4" s="31" t="s">
        <v>2</v>
      </c>
      <c r="Q4" s="31"/>
      <c r="R4" s="31"/>
      <c r="S4" s="31" t="s">
        <v>19</v>
      </c>
      <c r="T4" s="31"/>
      <c r="U4" s="31"/>
      <c r="V4" s="31"/>
      <c r="W4" s="22"/>
      <c r="Z4" s="31" t="s">
        <v>2</v>
      </c>
      <c r="AA4" s="31"/>
      <c r="AB4" s="31"/>
      <c r="AC4" s="31" t="s">
        <v>19</v>
      </c>
      <c r="AD4" s="31"/>
      <c r="AE4" s="31"/>
      <c r="AF4" s="31"/>
      <c r="AG4" s="22"/>
    </row>
    <row r="5" spans="6:33" x14ac:dyDescent="0.35">
      <c r="F5" s="1">
        <v>0</v>
      </c>
      <c r="G5" s="36">
        <v>-20000</v>
      </c>
      <c r="H5" s="36"/>
      <c r="I5" s="36"/>
      <c r="J5" s="36" t="s">
        <v>22</v>
      </c>
      <c r="K5" s="36"/>
      <c r="L5" s="36"/>
      <c r="M5" s="36"/>
      <c r="P5">
        <v>0</v>
      </c>
      <c r="Q5" s="36">
        <f>G5</f>
        <v>-20000</v>
      </c>
      <c r="R5" s="36"/>
      <c r="S5" s="36" t="s">
        <v>22</v>
      </c>
      <c r="T5" s="36"/>
      <c r="U5" s="36"/>
      <c r="V5" s="36"/>
      <c r="Z5">
        <v>0</v>
      </c>
      <c r="AA5" s="36">
        <f>Q5</f>
        <v>-20000</v>
      </c>
      <c r="AB5" s="36"/>
      <c r="AC5" s="36" t="s">
        <v>22</v>
      </c>
      <c r="AD5" s="36"/>
      <c r="AE5" s="36"/>
      <c r="AF5" s="36"/>
    </row>
    <row r="6" spans="6:33" x14ac:dyDescent="0.35">
      <c r="F6" s="1">
        <v>1</v>
      </c>
      <c r="G6" s="36">
        <v>15000</v>
      </c>
      <c r="H6" s="36"/>
      <c r="I6" s="36"/>
      <c r="J6" s="51">
        <f>G6/(1+G3)</f>
        <v>12500</v>
      </c>
      <c r="K6" s="51"/>
      <c r="L6" s="51"/>
      <c r="M6" s="51"/>
      <c r="P6">
        <v>1</v>
      </c>
      <c r="Q6" s="36">
        <f>G6*1.2</f>
        <v>18000</v>
      </c>
      <c r="R6" s="36"/>
      <c r="S6" s="36">
        <f>Q6/(1+Q3)</f>
        <v>15000</v>
      </c>
      <c r="T6" s="36"/>
      <c r="U6" s="36"/>
      <c r="V6" s="36"/>
      <c r="Z6">
        <v>1</v>
      </c>
      <c r="AA6" s="36">
        <f>G6*0.8</f>
        <v>12000</v>
      </c>
      <c r="AB6" s="36"/>
      <c r="AC6" s="51">
        <f>AA6/(1+AA3)</f>
        <v>10000</v>
      </c>
      <c r="AD6" s="51"/>
      <c r="AE6" s="51"/>
      <c r="AF6" s="51"/>
    </row>
    <row r="7" spans="6:33" x14ac:dyDescent="0.35">
      <c r="F7" s="1">
        <v>2</v>
      </c>
      <c r="G7" s="36">
        <v>2000</v>
      </c>
      <c r="H7" s="36"/>
      <c r="I7" s="36"/>
      <c r="J7" s="51">
        <f>G7/(1+G3)</f>
        <v>1666.6666666666667</v>
      </c>
      <c r="K7" s="51"/>
      <c r="L7" s="51"/>
      <c r="M7" s="51"/>
      <c r="P7">
        <v>2</v>
      </c>
      <c r="Q7" s="36">
        <f t="shared" ref="Q7:Q11" si="0">G7*1.2</f>
        <v>2400</v>
      </c>
      <c r="R7" s="36"/>
      <c r="S7" s="36">
        <f>Q7/(1+Q3)</f>
        <v>2000</v>
      </c>
      <c r="T7" s="36"/>
      <c r="U7" s="36"/>
      <c r="V7" s="36"/>
      <c r="Z7">
        <v>2</v>
      </c>
      <c r="AA7" s="36">
        <f t="shared" ref="AA7:AA11" si="1">G7*0.8</f>
        <v>1600</v>
      </c>
      <c r="AB7" s="36"/>
      <c r="AC7" s="51">
        <f>AA7/(1+AA3)</f>
        <v>1333.3333333333335</v>
      </c>
      <c r="AD7" s="51"/>
      <c r="AE7" s="51"/>
      <c r="AF7" s="51"/>
    </row>
    <row r="8" spans="6:33" x14ac:dyDescent="0.35">
      <c r="F8" s="1">
        <v>3</v>
      </c>
      <c r="G8" s="36">
        <v>3000</v>
      </c>
      <c r="H8" s="36"/>
      <c r="I8" s="36"/>
      <c r="J8" s="51">
        <f>G8/(1+G3)</f>
        <v>2500</v>
      </c>
      <c r="K8" s="51"/>
      <c r="L8" s="51"/>
      <c r="M8" s="51"/>
      <c r="P8">
        <v>3</v>
      </c>
      <c r="Q8" s="36">
        <f t="shared" si="0"/>
        <v>3600</v>
      </c>
      <c r="R8" s="36"/>
      <c r="S8" s="36">
        <f>Q8/(1+Q3)</f>
        <v>3000</v>
      </c>
      <c r="T8" s="36"/>
      <c r="U8" s="36"/>
      <c r="V8" s="36"/>
      <c r="Z8">
        <v>3</v>
      </c>
      <c r="AA8" s="36">
        <f t="shared" si="1"/>
        <v>2400</v>
      </c>
      <c r="AB8" s="36"/>
      <c r="AC8" s="51">
        <f>AA8/(1+AA3)</f>
        <v>2000</v>
      </c>
      <c r="AD8" s="51"/>
      <c r="AE8" s="51"/>
      <c r="AF8" s="51"/>
    </row>
    <row r="9" spans="6:33" x14ac:dyDescent="0.35">
      <c r="F9" s="1">
        <v>4</v>
      </c>
      <c r="G9" s="36">
        <v>5000</v>
      </c>
      <c r="H9" s="36"/>
      <c r="I9" s="36"/>
      <c r="J9" s="51">
        <f>G9/(1+G3)</f>
        <v>4166.666666666667</v>
      </c>
      <c r="K9" s="51"/>
      <c r="L9" s="51"/>
      <c r="M9" s="51"/>
      <c r="P9">
        <v>4</v>
      </c>
      <c r="Q9" s="36">
        <f t="shared" si="0"/>
        <v>6000</v>
      </c>
      <c r="R9" s="36"/>
      <c r="S9" s="36">
        <f>Q9/(1+Q3)</f>
        <v>5000</v>
      </c>
      <c r="T9" s="36"/>
      <c r="U9" s="36"/>
      <c r="V9" s="36"/>
      <c r="Z9">
        <v>4</v>
      </c>
      <c r="AA9" s="36">
        <f t="shared" si="1"/>
        <v>4000</v>
      </c>
      <c r="AB9" s="36"/>
      <c r="AC9" s="51">
        <f>AA9/(1+AA3)</f>
        <v>3333.3333333333335</v>
      </c>
      <c r="AD9" s="51"/>
      <c r="AE9" s="51"/>
      <c r="AF9" s="51"/>
    </row>
    <row r="10" spans="6:33" x14ac:dyDescent="0.35">
      <c r="F10" s="1">
        <v>5</v>
      </c>
      <c r="G10" s="36">
        <v>3500</v>
      </c>
      <c r="H10" s="36"/>
      <c r="I10" s="36"/>
      <c r="J10" s="51">
        <f>G10/(1+G3)</f>
        <v>2916.666666666667</v>
      </c>
      <c r="K10" s="51"/>
      <c r="L10" s="51"/>
      <c r="M10" s="51"/>
      <c r="P10">
        <v>5</v>
      </c>
      <c r="Q10" s="36">
        <f t="shared" si="0"/>
        <v>4200</v>
      </c>
      <c r="R10" s="36"/>
      <c r="S10" s="36">
        <f>Q10/(1+Q3)</f>
        <v>3500</v>
      </c>
      <c r="T10" s="36"/>
      <c r="U10" s="36"/>
      <c r="V10" s="36"/>
      <c r="Z10">
        <v>5</v>
      </c>
      <c r="AA10" s="36">
        <f t="shared" si="1"/>
        <v>2800</v>
      </c>
      <c r="AB10" s="36"/>
      <c r="AC10" s="51">
        <f>AA10/(1+AA3)</f>
        <v>2333.3333333333335</v>
      </c>
      <c r="AD10" s="51"/>
      <c r="AE10" s="51"/>
      <c r="AF10" s="51"/>
    </row>
    <row r="11" spans="6:33" x14ac:dyDescent="0.35">
      <c r="F11" s="1">
        <v>6</v>
      </c>
      <c r="G11" s="36">
        <v>9000</v>
      </c>
      <c r="H11" s="36"/>
      <c r="I11" s="36"/>
      <c r="J11" s="51">
        <f>G11/(1+G3)</f>
        <v>7500</v>
      </c>
      <c r="K11" s="51"/>
      <c r="L11" s="51"/>
      <c r="M11" s="51"/>
      <c r="P11">
        <v>6</v>
      </c>
      <c r="Q11" s="36">
        <f t="shared" si="0"/>
        <v>10800</v>
      </c>
      <c r="R11" s="36"/>
      <c r="S11" s="36">
        <f>Q11/(1+Q3)</f>
        <v>9000</v>
      </c>
      <c r="T11" s="36"/>
      <c r="U11" s="36"/>
      <c r="V11" s="36"/>
      <c r="Z11">
        <v>6</v>
      </c>
      <c r="AA11" s="36">
        <f t="shared" si="1"/>
        <v>7200</v>
      </c>
      <c r="AB11" s="36"/>
      <c r="AC11" s="51">
        <f>AA11/(1+AA3)</f>
        <v>6000</v>
      </c>
      <c r="AD11" s="51"/>
      <c r="AE11" s="51"/>
      <c r="AF11" s="51"/>
    </row>
    <row r="12" spans="6:33" x14ac:dyDescent="0.35">
      <c r="F12" s="23" t="s">
        <v>21</v>
      </c>
      <c r="G12" s="49">
        <f>SUM(G6:I11)</f>
        <v>37500</v>
      </c>
      <c r="H12" s="49"/>
      <c r="I12" s="49"/>
      <c r="J12" s="50">
        <f>SUM(J6:M11)</f>
        <v>31250</v>
      </c>
      <c r="K12" s="50"/>
      <c r="L12" s="50"/>
      <c r="M12" s="50"/>
      <c r="P12" s="24" t="s">
        <v>21</v>
      </c>
      <c r="Q12" s="49">
        <f>SUM(Q5:R11)</f>
        <v>25000</v>
      </c>
      <c r="R12" s="49"/>
      <c r="S12" s="49">
        <f>SUM(S6:V11)</f>
        <v>37500</v>
      </c>
      <c r="T12" s="49"/>
      <c r="U12" s="49"/>
      <c r="V12" s="49"/>
      <c r="Z12" s="24" t="s">
        <v>21</v>
      </c>
      <c r="AA12" s="49">
        <f>SUM(AA5:AB11)</f>
        <v>10000</v>
      </c>
      <c r="AB12" s="49"/>
      <c r="AC12" s="50">
        <f>SUM(AC6:AF11)</f>
        <v>25000</v>
      </c>
      <c r="AD12" s="50"/>
      <c r="AE12" s="50"/>
      <c r="AF12" s="50"/>
    </row>
    <row r="14" spans="6:33" x14ac:dyDescent="0.35">
      <c r="F14" s="25" t="s">
        <v>23</v>
      </c>
      <c r="G14" s="54">
        <f>IRR(G5:I11)</f>
        <v>0.25997903854075788</v>
      </c>
      <c r="H14" s="58"/>
      <c r="I14" s="58"/>
      <c r="J14" s="58"/>
      <c r="K14" s="58"/>
      <c r="L14" s="58"/>
      <c r="M14" s="59"/>
      <c r="P14" s="25" t="s">
        <v>23</v>
      </c>
      <c r="Q14" s="54">
        <f>IRR(Q5:R11)</f>
        <v>0.37081677308053562</v>
      </c>
      <c r="R14" s="54"/>
      <c r="S14" s="54"/>
      <c r="T14" s="54"/>
      <c r="U14" s="54"/>
      <c r="V14" s="55"/>
      <c r="Z14" s="25" t="s">
        <v>23</v>
      </c>
      <c r="AA14" s="54">
        <f>IRR(AA5:AB11)</f>
        <v>0.15031900384733077</v>
      </c>
      <c r="AB14" s="54"/>
      <c r="AC14" s="54"/>
      <c r="AD14" s="54"/>
      <c r="AE14" s="54"/>
      <c r="AF14" s="55"/>
    </row>
    <row r="15" spans="6:33" ht="15" thickBot="1" x14ac:dyDescent="0.4"/>
    <row r="16" spans="6:33" ht="15" thickBot="1" x14ac:dyDescent="0.4">
      <c r="F16" s="56" t="s">
        <v>26</v>
      </c>
      <c r="G16" s="38"/>
      <c r="H16" s="38"/>
      <c r="I16" s="38"/>
      <c r="J16" s="38"/>
      <c r="K16" s="38"/>
      <c r="L16" s="38"/>
      <c r="M16" s="39"/>
      <c r="P16" s="37" t="s">
        <v>26</v>
      </c>
      <c r="Q16" s="33"/>
      <c r="R16" s="33"/>
      <c r="S16" s="33"/>
      <c r="T16" s="33"/>
      <c r="U16" s="33"/>
      <c r="V16" s="34"/>
      <c r="W16" s="22"/>
      <c r="Z16" s="56" t="s">
        <v>26</v>
      </c>
      <c r="AA16" s="38"/>
      <c r="AB16" s="38"/>
      <c r="AC16" s="38"/>
      <c r="AD16" s="38"/>
      <c r="AE16" s="38"/>
      <c r="AF16" s="39"/>
      <c r="AG16" s="22"/>
    </row>
    <row r="17" spans="6:33" x14ac:dyDescent="0.35">
      <c r="F17" s="9" t="s">
        <v>13</v>
      </c>
      <c r="G17" s="51">
        <f>J12+G5</f>
        <v>11250</v>
      </c>
      <c r="H17" s="36"/>
      <c r="I17" s="36"/>
      <c r="J17" s="36"/>
      <c r="K17" s="36"/>
      <c r="L17" s="36"/>
      <c r="M17" s="57"/>
      <c r="P17" s="9" t="s">
        <v>13</v>
      </c>
      <c r="Q17" s="67">
        <f>S12+Q5</f>
        <v>17500</v>
      </c>
      <c r="R17" s="67"/>
      <c r="S17" s="67"/>
      <c r="T17" s="67"/>
      <c r="U17" s="67"/>
      <c r="V17" s="68"/>
      <c r="Z17" s="9" t="s">
        <v>13</v>
      </c>
      <c r="AA17" s="51">
        <f>AC12+AA5</f>
        <v>5000</v>
      </c>
      <c r="AB17" s="51"/>
      <c r="AC17" s="51"/>
      <c r="AD17" s="51"/>
      <c r="AE17" s="51"/>
      <c r="AF17" s="60"/>
    </row>
    <row r="18" spans="6:33" x14ac:dyDescent="0.35">
      <c r="F18" s="9" t="s">
        <v>27</v>
      </c>
      <c r="G18" s="66">
        <f>G14</f>
        <v>0.25997903854075788</v>
      </c>
      <c r="H18" s="36"/>
      <c r="I18" s="36"/>
      <c r="J18" s="36"/>
      <c r="K18" s="36"/>
      <c r="L18" s="36"/>
      <c r="M18" s="57"/>
      <c r="P18" s="9" t="s">
        <v>27</v>
      </c>
      <c r="Q18" s="61">
        <f>Q14</f>
        <v>0.37081677308053562</v>
      </c>
      <c r="R18" s="61"/>
      <c r="S18" s="61"/>
      <c r="T18" s="61"/>
      <c r="U18" s="61"/>
      <c r="V18" s="62"/>
      <c r="Z18" s="9" t="s">
        <v>27</v>
      </c>
      <c r="AA18" s="61">
        <f>AA14</f>
        <v>0.15031900384733077</v>
      </c>
      <c r="AB18" s="61"/>
      <c r="AC18" s="61"/>
      <c r="AD18" s="61"/>
      <c r="AE18" s="61"/>
      <c r="AF18" s="62"/>
    </row>
    <row r="19" spans="6:33" ht="15" thickBot="1" x14ac:dyDescent="0.4">
      <c r="F19" s="63" t="s">
        <v>28</v>
      </c>
      <c r="G19" s="64"/>
      <c r="H19" s="64"/>
      <c r="I19" s="64"/>
      <c r="J19" s="64"/>
      <c r="K19" s="64"/>
      <c r="L19" s="64"/>
      <c r="M19" s="65"/>
      <c r="P19" s="63" t="s">
        <v>28</v>
      </c>
      <c r="Q19" s="64"/>
      <c r="R19" s="64"/>
      <c r="S19" s="64"/>
      <c r="T19" s="64"/>
      <c r="U19" s="64"/>
      <c r="V19" s="65"/>
      <c r="W19" s="22"/>
      <c r="Z19" s="63" t="s">
        <v>32</v>
      </c>
      <c r="AA19" s="64"/>
      <c r="AB19" s="64"/>
      <c r="AC19" s="64"/>
      <c r="AD19" s="64"/>
      <c r="AE19" s="64"/>
      <c r="AF19" s="65"/>
      <c r="AG19" s="22"/>
    </row>
    <row r="20" spans="6:33" ht="15" thickBot="1" x14ac:dyDescent="0.4"/>
    <row r="21" spans="6:33" x14ac:dyDescent="0.35">
      <c r="F21" s="56" t="s">
        <v>29</v>
      </c>
      <c r="G21" s="38"/>
      <c r="H21" s="39"/>
      <c r="I21" s="22"/>
      <c r="J21" s="22"/>
      <c r="K21" s="22"/>
      <c r="L21" s="22"/>
      <c r="M21" s="22"/>
    </row>
    <row r="22" spans="6:33" x14ac:dyDescent="0.35">
      <c r="F22" s="26"/>
      <c r="G22" t="s">
        <v>13</v>
      </c>
      <c r="H22" s="13" t="s">
        <v>27</v>
      </c>
      <c r="I22" s="22"/>
      <c r="J22" s="22"/>
      <c r="K22" s="22"/>
      <c r="L22" s="22"/>
      <c r="M22" s="22"/>
    </row>
    <row r="23" spans="6:33" x14ac:dyDescent="0.35">
      <c r="F23" s="9" t="s">
        <v>9</v>
      </c>
      <c r="G23" s="16">
        <f>G17</f>
        <v>11250</v>
      </c>
      <c r="H23" s="27">
        <f>G18</f>
        <v>0.25997903854075788</v>
      </c>
    </row>
    <row r="24" spans="6:33" x14ac:dyDescent="0.35">
      <c r="F24" s="9" t="s">
        <v>30</v>
      </c>
      <c r="G24" s="16">
        <f>Q17</f>
        <v>17500</v>
      </c>
      <c r="H24" s="27">
        <f>Q18</f>
        <v>0.37081677308053562</v>
      </c>
    </row>
    <row r="25" spans="6:33" ht="15" thickBot="1" x14ac:dyDescent="0.4">
      <c r="F25" s="7" t="s">
        <v>31</v>
      </c>
      <c r="G25" s="29">
        <f>AA17</f>
        <v>5000</v>
      </c>
      <c r="H25" s="28">
        <f>AA18</f>
        <v>0.15031900384733077</v>
      </c>
    </row>
  </sheetData>
  <mergeCells count="79">
    <mergeCell ref="F21:H21"/>
    <mergeCell ref="Z16:AF16"/>
    <mergeCell ref="AA17:AF17"/>
    <mergeCell ref="AA18:AF18"/>
    <mergeCell ref="Z19:AF19"/>
    <mergeCell ref="G18:M18"/>
    <mergeCell ref="F19:M19"/>
    <mergeCell ref="P16:V16"/>
    <mergeCell ref="Q17:V17"/>
    <mergeCell ref="Q18:V18"/>
    <mergeCell ref="P19:V19"/>
    <mergeCell ref="AA14:AF14"/>
    <mergeCell ref="F16:M16"/>
    <mergeCell ref="G17:M17"/>
    <mergeCell ref="Q14:V14"/>
    <mergeCell ref="G14:M14"/>
    <mergeCell ref="AC5:AF5"/>
    <mergeCell ref="AA6:AB6"/>
    <mergeCell ref="AC6:AF6"/>
    <mergeCell ref="AA7:AB7"/>
    <mergeCell ref="AC7:AF7"/>
    <mergeCell ref="AA5:AB5"/>
    <mergeCell ref="AA8:AB8"/>
    <mergeCell ref="AC8:AF8"/>
    <mergeCell ref="S11:V11"/>
    <mergeCell ref="Q12:R12"/>
    <mergeCell ref="S12:V12"/>
    <mergeCell ref="S10:V10"/>
    <mergeCell ref="Q11:R11"/>
    <mergeCell ref="AA9:AB9"/>
    <mergeCell ref="AC9:AF9"/>
    <mergeCell ref="AA10:AB10"/>
    <mergeCell ref="AC10:AF10"/>
    <mergeCell ref="AA11:AB11"/>
    <mergeCell ref="AC11:AF11"/>
    <mergeCell ref="AA12:AB12"/>
    <mergeCell ref="AC12:AF12"/>
    <mergeCell ref="Z1:AF1"/>
    <mergeCell ref="AA2:AF2"/>
    <mergeCell ref="AA3:AF3"/>
    <mergeCell ref="Z4:AB4"/>
    <mergeCell ref="AC4:AF4"/>
    <mergeCell ref="S5:V5"/>
    <mergeCell ref="S6:V6"/>
    <mergeCell ref="S7:V7"/>
    <mergeCell ref="S8:V8"/>
    <mergeCell ref="S9:V9"/>
    <mergeCell ref="Q6:R6"/>
    <mergeCell ref="Q7:R7"/>
    <mergeCell ref="Q8:R8"/>
    <mergeCell ref="Q9:R9"/>
    <mergeCell ref="Q10:R10"/>
    <mergeCell ref="P1:V1"/>
    <mergeCell ref="Q2:V2"/>
    <mergeCell ref="Q3:V3"/>
    <mergeCell ref="P4:R4"/>
    <mergeCell ref="S4:V4"/>
    <mergeCell ref="Q5:R5"/>
    <mergeCell ref="G3:M3"/>
    <mergeCell ref="G12:I12"/>
    <mergeCell ref="J12:M12"/>
    <mergeCell ref="G5:I5"/>
    <mergeCell ref="J5:M5"/>
    <mergeCell ref="G8:I8"/>
    <mergeCell ref="G9:I9"/>
    <mergeCell ref="G10:I10"/>
    <mergeCell ref="G11:I11"/>
    <mergeCell ref="J6:M6"/>
    <mergeCell ref="J7:M7"/>
    <mergeCell ref="J8:M8"/>
    <mergeCell ref="J9:M9"/>
    <mergeCell ref="J10:M10"/>
    <mergeCell ref="J11:M11"/>
    <mergeCell ref="G7:I7"/>
    <mergeCell ref="F1:M1"/>
    <mergeCell ref="G2:M2"/>
    <mergeCell ref="F4:I4"/>
    <mergeCell ref="J4:M4"/>
    <mergeCell ref="G6:I6"/>
  </mergeCells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Calculator (Session 01)</vt:lpstr>
      <vt:lpstr>NPV+IRR Calculator (Session 02)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Ibaad the master</dc:creator>
  <cp:lastModifiedBy>Ibaad the master</cp:lastModifiedBy>
  <dcterms:created xsi:type="dcterms:W3CDTF">2026-04-11T06:19:46Z</dcterms:created>
  <dcterms:modified xsi:type="dcterms:W3CDTF">2026-05-15T20:28:28Z</dcterms:modified>
</cp:coreProperties>
</file>